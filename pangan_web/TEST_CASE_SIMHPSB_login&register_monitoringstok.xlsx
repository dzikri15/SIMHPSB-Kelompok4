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mc:AlternateContent xmlns:mc="http://schemas.openxmlformats.org/markup-compatibility/2006">
    <mc:Choice Requires="x15">
      <x15ac:absPath xmlns:x15ac="http://schemas.microsoft.com/office/spreadsheetml/2010/11/ac" url="C:\Users\Sakura-X8\Downloads\"/>
    </mc:Choice>
  </mc:AlternateContent>
  <xr:revisionPtr revIDLastSave="0" documentId="8_{774CEF96-3D0F-49A5-BC77-1D26598F0193}" xr6:coauthVersionLast="47" xr6:coauthVersionMax="47" xr10:uidLastSave="{00000000-0000-0000-0000-000000000000}"/>
  <bookViews>
    <workbookView xWindow="-110" yWindow="-110" windowWidth="19420" windowHeight="10300" xr2:uid="{00000000-000D-0000-FFFF-FFFF00000000}"/>
  </bookViews>
  <sheets>
    <sheet name="TC-73 Login &amp; Register" sheetId="1" r:id="rId1"/>
    <sheet name="TC-76 Monitoring Stok" sheetId="2" r:id="rId2"/>
    <sheet name="Summa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3" l="1"/>
  <c r="F4" i="3"/>
  <c r="E4" i="3"/>
  <c r="D4" i="3"/>
  <c r="G3" i="3"/>
  <c r="F3" i="3"/>
  <c r="E3" i="3"/>
  <c r="D3" i="3"/>
  <c r="E5" i="3" l="1"/>
  <c r="D5" i="3"/>
  <c r="F5" i="3"/>
  <c r="G5" i="3"/>
</calcChain>
</file>

<file path=xl/sharedStrings.xml><?xml version="1.0" encoding="utf-8"?>
<sst xmlns="http://schemas.openxmlformats.org/spreadsheetml/2006/main" count="389" uniqueCount="246">
  <si>
    <t>TEST CASE — Fitur Login &amp; Register — SIMHPSB</t>
  </si>
  <si>
    <t>Issue</t>
  </si>
  <si>
    <t>#73</t>
  </si>
  <si>
    <t>Platform</t>
  </si>
  <si>
    <t>Mobile (Flutter) &amp; Web</t>
  </si>
  <si>
    <t>Tester</t>
  </si>
  <si>
    <t>No</t>
  </si>
  <si>
    <t>Test Case ID</t>
  </si>
  <si>
    <t>Fitur / Modul</t>
  </si>
  <si>
    <t>Skenario</t>
  </si>
  <si>
    <t>Langkah-langkah</t>
  </si>
  <si>
    <t>Data Uji</t>
  </si>
  <si>
    <t>Expected Result</t>
  </si>
  <si>
    <t>Actual Result</t>
  </si>
  <si>
    <t>Tipe</t>
  </si>
  <si>
    <t>Prioritas</t>
  </si>
  <si>
    <t>Status</t>
  </si>
  <si>
    <t>TC-73-01</t>
  </si>
  <si>
    <t>Auth / Login</t>
  </si>
  <si>
    <t>Login berhasil sebagai Petugas (Web)</t>
  </si>
  <si>
    <t>1. Buka http://localhost:8000
2. Masukkan email &amp; password
3. Klik tombol Login</t>
  </si>
  <si>
    <t>Email: petugas@simhpsb.com
Password: password</t>
  </si>
  <si>
    <t>JWT token diterima, user diarahkan ke halaman Dashboard Web dengan ringkasan stok</t>
  </si>
  <si>
    <t>Web</t>
  </si>
  <si>
    <t>Positive</t>
  </si>
  <si>
    <t>High</t>
  </si>
  <si>
    <t>-</t>
  </si>
  <si>
    <t>TC-73-02</t>
  </si>
  <si>
    <t>Login berhasil sebagai Petani (Mobile Flutter)</t>
  </si>
  <si>
    <t>1. Buka aplikasi SIMHPSB di HP
2. Masukkan email &amp; password petani
3. Tap tombol Login</t>
  </si>
  <si>
    <t>JWT token disimpan via SharedPreferences, user diarahkan ke beranda_screen.dart</t>
  </si>
  <si>
    <t>Mobile</t>
  </si>
  <si>
    <t>TC-73-03</t>
  </si>
  <si>
    <t>Login gagal — password salah</t>
  </si>
  <si>
    <t>1. Buka halaman login
2. Masukkan email valid &amp; password salah
3. Tap/Klik Login</t>
  </si>
  <si>
    <t>Email: petugas@simhpsb.com
Password: salah123</t>
  </si>
  <si>
    <t>API POST /api/auth/login mengembalikan 401, muncul pesan error di UI</t>
  </si>
  <si>
    <t>Mobile &amp; Web</t>
  </si>
  <si>
    <t>Negative</t>
  </si>
  <si>
    <t>TC-73-04</t>
  </si>
  <si>
    <t>Login gagal — email tidak terdaftar</t>
  </si>
  <si>
    <t>1. Buka halaman login
2. Masukkan email yang tidak ada di database
3. Tap/Klik Login</t>
  </si>
  <si>
    <t>Email: tidakada@simhpsb.com
Password: password</t>
  </si>
  <si>
    <t>API mengembalikan error, UI menampilkan 'Akun tidak ditemukan'</t>
  </si>
  <si>
    <t>TC-73-05</t>
  </si>
  <si>
    <t>Login gagal — field kosong</t>
  </si>
  <si>
    <t>1. Buka halaman login
2. Biarkan field kosong
3. Tap/Klik Login</t>
  </si>
  <si>
    <t>Email: (kosong)
Password: (kosong)</t>
  </si>
  <si>
    <t>Validasi form mencegah request ke API, muncul pesan 'Field tidak boleh kosong'</t>
  </si>
  <si>
    <t>Medium</t>
  </si>
  <si>
    <t>TC-73-06</t>
  </si>
  <si>
    <t>Auth / Token</t>
  </si>
  <si>
    <t>JWT Token tersimpan &amp; digunakan untuk request selanjutnya</t>
  </si>
  <si>
    <t>1. Login berhasil
2. Akses halaman yang membutuhkan auth
3. Cek header request</t>
  </si>
  <si>
    <t>Token dari response login</t>
  </si>
  <si>
    <t>Request ke endpoint protected menyertakan Authorization: Bearer &lt;token&gt;, response 200</t>
  </si>
  <si>
    <t>TC-73-07</t>
  </si>
  <si>
    <t>Token refresh saat token expired</t>
  </si>
  <si>
    <t>1. Login dan tunggu token expire (atau simulasi)
2. Lakukan request ke endpoint protected
3. api_service.dart intercept dan POST /api/auth/refresh</t>
  </si>
  <si>
    <t>Token yang sudah expire</t>
  </si>
  <si>
    <t>Token berhasil di-refresh, request dilanjutkan otomatis tanpa user harus login ulang</t>
  </si>
  <si>
    <t>TC-73-08</t>
  </si>
  <si>
    <t>Auth / Logout</t>
  </si>
  <si>
    <t>Logout berhasil (Web)</t>
  </si>
  <si>
    <t>1. Login sebagai petugas
2. Klik tombol Logout
3. Cek redirect</t>
  </si>
  <si>
    <t>POST /api/auth/logout dipanggil, token diinvalidate, user diarahkan ke halaman login</t>
  </si>
  <si>
    <t>TC-73-09</t>
  </si>
  <si>
    <t>Logout berhasil (Mobile)</t>
  </si>
  <si>
    <t>1. Login di app
2. Buka menu
3. Tap Logout</t>
  </si>
  <si>
    <t>Token dihapus dari SharedPreferences, user diarahkan ke login_screen.dart</t>
  </si>
  <si>
    <t>TC-73-10</t>
  </si>
  <si>
    <t>Auth / Register</t>
  </si>
  <si>
    <t>Register akun baru</t>
  </si>
  <si>
    <t>1. Akses POST /api/auth/register
2. Isi data akun baru</t>
  </si>
  <si>
    <t>name: Budi
email: budi@simhpsb.com
password: Test@123</t>
  </si>
  <si>
    <t>Akun berhasil dibuat, response 201, user bisa login dengan akun baru</t>
  </si>
  <si>
    <t>Web / API</t>
  </si>
  <si>
    <t>TC-73-11</t>
  </si>
  <si>
    <t>Register gagal — email sudah terdaftar</t>
  </si>
  <si>
    <t>1. Kirim POST /api/auth/register dengan email yang sudah ada</t>
  </si>
  <si>
    <t>email: petugas@simhpsb.com (sudah ada di DB)</t>
  </si>
  <si>
    <t>API mengembalikan error validasi 422, pesan 'Email sudah digunakan'</t>
  </si>
  <si>
    <t>TC-73-12</t>
  </si>
  <si>
    <t>Auth / Me</t>
  </si>
  <si>
    <t>GET /api/auth/me mengembalikan data user yang login</t>
  </si>
  <si>
    <t>1. Login, salin token
2. GET /api/auth/me dengan Authorization: Bearer &lt;token&gt;</t>
  </si>
  <si>
    <t>Token valid</t>
  </si>
  <si>
    <t>Response 200 berisi id, name, email, role user yang sedang login</t>
  </si>
  <si>
    <t>API</t>
  </si>
  <si>
    <t>TC-73-13</t>
  </si>
  <si>
    <t>Auth / Role</t>
  </si>
  <si>
    <t>Akses endpoint protected tanpa token ditolak</t>
  </si>
  <si>
    <t>1. Kirim GET /api/stok/summary TANPA header Authorization</t>
  </si>
  <si>
    <t>Tidak ada token</t>
  </si>
  <si>
    <t>Response 401 Unauthorized, bukan data stok</t>
  </si>
  <si>
    <t>TC-73-14</t>
  </si>
  <si>
    <t>Endpoint distribusi hanya bisa diakses role admin/petugas</t>
  </si>
  <si>
    <t>1. Login sebagai petani
2. Coba akses GET /api/distribusi</t>
  </si>
  <si>
    <t>Token milik role: petani</t>
  </si>
  <si>
    <t>Response 403 Forbidden, petani tidak bisa mengakses endpoint distribusi</t>
  </si>
  <si>
    <t>TC-73-15</t>
  </si>
  <si>
    <t>Auth / Session</t>
  </si>
  <si>
    <t>Session tetap aktif setelah tutup &amp; buka ulang app mobile</t>
  </si>
  <si>
    <t>1. Login berhasil di mobile
2. Paksa tutup aplikasi
3. Buka aplikasi kembali</t>
  </si>
  <si>
    <t>Token masih ada di flutter_secure_storage, user langsung masuk ke beranda tanpa login ulang</t>
  </si>
  <si>
    <t>TEST CASE — Fitur Monitoring Stok Gudang — SIMHPSB</t>
  </si>
  <si>
    <t>#76</t>
  </si>
  <si>
    <t>TC-76-01</t>
  </si>
  <si>
    <t>Stok / Dashboard</t>
  </si>
  <si>
    <t>Dashboard web menampilkan ringkasan stok real-time</t>
  </si>
  <si>
    <t>1. Login sebagai petugas
2. Akses http://localhost:8000
3. Lihat kartu ringkasan stok</t>
  </si>
  <si>
    <t>Token: petugas@simhpsb.com</t>
  </si>
  <si>
    <t>GET /api/stok/summary dipanggil, dashboard menampilkan total stok gabah &amp; beras per gudang, alert aktif, dan grafik tren</t>
  </si>
  <si>
    <t>TC-76-02</t>
  </si>
  <si>
    <t>Stok / Monitoring</t>
  </si>
  <si>
    <t>Halaman stok_gudang_screen.dart menampilkan daftar stok</t>
  </si>
  <si>
    <t>1. Login di mobile app
2. Navigasi ke menu Stok Gudang
3. Lihat list stok</t>
  </si>
  <si>
    <t>Token valid role petugas/petani</t>
  </si>
  <si>
    <t>GET /api/stok/monitoring dipanggil, list stok per gudang tampil: nama komoditas, jumlah, satuan, status</t>
  </si>
  <si>
    <t>TC-76-03</t>
  </si>
  <si>
    <t>Stok / Status</t>
  </si>
  <si>
    <t>Stok tampil dengan status AMAN (di atas minimum)</t>
  </si>
  <si>
    <t>1. Buka monitoring stok
2. Lihat produk yang stoknya di atas batas minimum</t>
  </si>
  <si>
    <t>Stok beras: 500 kg
Batas minimum: 200 kg</t>
  </si>
  <si>
    <t>Status tampil 'Aman' / indikator hijau, tidak ada alert aktif untuk komoditas ini</t>
  </si>
  <si>
    <t>TC-76-04</t>
  </si>
  <si>
    <t>Stok / Alert</t>
  </si>
  <si>
    <t>Stok tampil dengan status MENIPIS (mendekati minimum)</t>
  </si>
  <si>
    <t>1. Buka monitoring stok
2. Lihat produk yang stoknya mendekati atau di bawah minimum</t>
  </si>
  <si>
    <t>Stok beras: 150 kg
Batas minimum: 200 kg</t>
  </si>
  <si>
    <t>Status 'Menipis' tampil dengan indikator merah/kuning, GET /api/alert/minimum mencantumkan komoditas ini</t>
  </si>
  <si>
    <t>TC-76-05</t>
  </si>
  <si>
    <t>GET /api/alert/minimum mengembalikan daftar stok di bawah minimum</t>
  </si>
  <si>
    <t>1. Login &amp; salin token
2. GET /api/alert/minimum</t>
  </si>
  <si>
    <t>Token valid, ada stok di bawah minimum di DB</t>
  </si>
  <si>
    <t>Response 200, array berisi komoditas dengan stok_saat_ini &lt; batas_minimum berikut detail gudang</t>
  </si>
  <si>
    <t>TC-76-06</t>
  </si>
  <si>
    <t>Stok / Transaksi</t>
  </si>
  <si>
    <t>Melihat riwayat transaksi masuk/keluar stok</t>
  </si>
  <si>
    <t>1. Login sebagai petugas
2. GET /api/stok/transaksi atau buka halaman transaksi di web</t>
  </si>
  <si>
    <t>Response berisi list mutasi stok: tanggal, jenis (masuk/keluar), jumlah, komoditas, gudang</t>
  </si>
  <si>
    <t>TC-76-07</t>
  </si>
  <si>
    <t>Stok / Catat</t>
  </si>
  <si>
    <t>Mencatat transaksi stok MASUK (setelah input panen)</t>
  </si>
  <si>
    <t>1. Login sebagai petugas
2. POST /api/stok/catat dengan data transaksi masuk</t>
  </si>
  <si>
    <t>{"gudang_id":1,"komoditas":"beras","jumlah":100,"jenis":"masuk","keterangan":"Hasil panen Budi"}</t>
  </si>
  <si>
    <t>Response 201, stok beras di gudang 1 bertambah 100 kg, saldo real-time terupdate</t>
  </si>
  <si>
    <t>API / Web</t>
  </si>
  <si>
    <t>TC-76-08</t>
  </si>
  <si>
    <t>Mencatat transaksi stok KELUAR (distribusi)</t>
  </si>
  <si>
    <t>1. Login sebagai petugas
2. POST /api/stok/catat dengan jenis keluar</t>
  </si>
  <si>
    <t>{"gudang_id":1,"komoditas":"beras","jumlah":50,"jenis":"keluar","keterangan":"Distribusi ke MBG"}</t>
  </si>
  <si>
    <t>Response 201, stok berkurang 50 kg, jika stok setelah transaksi &lt; minimum maka alert otomatis terbuat</t>
  </si>
  <si>
    <t>TC-76-09</t>
  </si>
  <si>
    <t>Stok / Validasi</t>
  </si>
  <si>
    <t>Catat transaksi keluar melebihi stok yang tersedia</t>
  </si>
  <si>
    <t>1. POST /api/stok/catat dengan jumlah keluar &gt; stok tersedia</t>
  </si>
  <si>
    <t>Stok tersedia: 30 kg
Jumlah keluar: 100 kg</t>
  </si>
  <si>
    <t>API menolak transaksi, response 422 dengan pesan 'Stok tidak mencukupi'</t>
  </si>
  <si>
    <t>TC-76-10</t>
  </si>
  <si>
    <t>Stok / Konfigurasi Alert</t>
  </si>
  <si>
    <t>Update batas minimum stok via PUT /api/alert/konfigurasi</t>
  </si>
  <si>
    <t>1. Login sebagai admin
2. PUT /api/alert/konfigurasi dengan batas baru</t>
  </si>
  <si>
    <t>{"komoditas":"beras","batas_minimum":300}</t>
  </si>
  <si>
    <t>Response 200, konfigurasi tersimpan, alert dievaluasi ulang berdasarkan batas baru</t>
  </si>
  <si>
    <t>TC-76-11</t>
  </si>
  <si>
    <t>Stok / Sinkronisasi</t>
  </si>
  <si>
    <t>Data stok di mobile sinkron dengan web setelah transaksi</t>
  </si>
  <si>
    <t>1. Catat transaksi stok masuk via web
2. Refresh halaman monitoring stok di mobile</t>
  </si>
  <si>
    <t>Transaksi: +200 kg beras via web</t>
  </si>
  <si>
    <t>Mobile menampilkan data stok terbaru setelah refresh (GET /api/stok/monitoring dipanggil ulang)</t>
  </si>
  <si>
    <t>TC-76-12</t>
  </si>
  <si>
    <t>Stok / Laporan</t>
  </si>
  <si>
    <t>Generate laporan stok via GET /api/laporan/stok</t>
  </si>
  <si>
    <t>1. Login sebagai petugas
2. GET /api/laporan/stok (bisa dengan filter tanggal)</t>
  </si>
  <si>
    <t>Token valid
?start_date=2025-01-01&amp;end_date=2025-06-30</t>
  </si>
  <si>
    <t>Response berisi rekap stok masuk, keluar, saldo akhir per periode per gudang</t>
  </si>
  <si>
    <t>TC-76-13</t>
  </si>
  <si>
    <t>Stok / Mobile</t>
  </si>
  <si>
    <t>Beranda (beranda_screen.dart) menampilkan ringkasan stok</t>
  </si>
  <si>
    <t>1. Login di mobile sebagai petugas
2. Lihat halaman beranda</t>
  </si>
  <si>
    <t>Beranda menampilkan ringkasan: total stok, jumlah alert aktif, data terbaru dari /api/stok/summary</t>
  </si>
  <si>
    <t>TC-76-14</t>
  </si>
  <si>
    <t>Halaman stok kosong saat belum ada data di gudang</t>
  </si>
  <si>
    <t>1. Login dengan akun petugas gudang baru
2. Buka monitoring stok</t>
  </si>
  <si>
    <t>DB: tidak ada data stok untuk gudang ini</t>
  </si>
  <si>
    <t>Tampil pesan 'Belum ada data stok' tanpa error / crash di mobile maupun web</t>
  </si>
  <si>
    <t>TC-76-15</t>
  </si>
  <si>
    <t>Stok / Alert Handle</t>
  </si>
  <si>
    <t>Mark alert sebagai handled via POST /api/alert/{id}/handle</t>
  </si>
  <si>
    <t>1. Dapatkan id alert aktif dari GET /api/alert/minimum
2. POST /api/alert/{id}/handle</t>
  </si>
  <si>
    <t>alert_id: 3 (contoh)</t>
  </si>
  <si>
    <t>Response 200, alert statusnya berubah menjadi 'handled', tidak muncul lagi di daftar alert aktif</t>
  </si>
  <si>
    <t>SUMMARY TEST CASE — SIMHPSB Kelompok 4</t>
  </si>
  <si>
    <t>Modul / Fitur</t>
  </si>
  <si>
    <t>Total TC</t>
  </si>
  <si>
    <t>Pass</t>
  </si>
  <si>
    <t>Fail</t>
  </si>
  <si>
    <t>Blocked</t>
  </si>
  <si>
    <t>Belum Diuji</t>
  </si>
  <si>
    <t>Login &amp; Register (JWT Auth — Mobile &amp; Web)</t>
  </si>
  <si>
    <t>Monitoring Stok Gudang (Mobile &amp; Web)</t>
  </si>
  <si>
    <t>TOTAL</t>
  </si>
  <si>
    <t>📝 Cara Pengisian:</t>
  </si>
  <si>
    <t>1. Jalankan aplikasi: docker compose up -d di folder pangan_web</t>
  </si>
  <si>
    <t>2. Akses web: http://localhost:8000 | Login: petugas@simhpsb.com / password</t>
  </si>
  <si>
    <t>3. Untuk API testing, gunakan Postman. Login dulu untuk dapat JWT token.</t>
  </si>
  <si>
    <t>4. Untuk mobile, pastikan baseUrl di api_service.dart mengarah ke IP yang benar.</t>
  </si>
  <si>
    <t>5. Isi kolom 'Actual Result' sesuai hasil pengujian nyata.</t>
  </si>
  <si>
    <t>6. Isi kolom 'Status' dengan: Pass / Fail / Blocked</t>
  </si>
  <si>
    <t>7. Sheet Summary otomatis terupdate saat Status diisi.</t>
  </si>
  <si>
    <t>Devina</t>
  </si>
  <si>
    <t>pass</t>
  </si>
  <si>
    <t xml:space="preserve">pass </t>
  </si>
  <si>
    <t>Email: as@gmail.com
Password: password</t>
  </si>
  <si>
    <t>Sistem menolak login dan menampilkan pesan 'Email atau kata sandi salah.' pada UI halaman login mobile, sesuai dengan expected result.</t>
  </si>
  <si>
    <t>Akun petani@simhpsb.com tidak ditemukan di database (dicek via tinker, hasil null), sehingga login awal gagal dengan pesan 'These credentials do not match our records'. Setelah diganti dengan akun petani yang tersedia (as@gmail.com) dan password direset, percobaan login awal di mobile stuck loading karena baseUrl di api_service.dart belum terbaca ulang oleh aplikasi (hanya hot reload). Setelah aplikasi di-restart penuh (flutter run ulang), login berhasil: JWT token diterima, user diarahkan ke beranda_screen.dart.</t>
  </si>
  <si>
    <t>JWT diterima oleh token, dan user diarahkan ke halaman Dashboard web dengan tampilan ringkasan stok</t>
  </si>
  <si>
    <t>Validasi form berhasil mencegah request terkirim ke API (pesan muncul instan tanpa loading/delay, mengindikasikan validasi dilakukan di sisi klien). Namun, pesan yang ditampilkan adalah 'Email atau kata sandi salah' (pesan generic kredensial salah), bukan 'Field tidak boleh kosong' sebagaimana dirancang pada expected result. Pesan ini berpotensi membingungkan pengguna karena menyiratkan kredensial yang dimasukkan salah, padahal sebenarnya field belum diisi sama sekali.</t>
  </si>
  <si>
    <t>fail</t>
  </si>
  <si>
    <t>Request GET /api/auth/me dengan header Authorization: Bearer token berhasil mengembalikan response 200 OK berisi data user yang sedang login meliputi id: 2, name: 'Petugas SIMHPSB', email: 'petugas@simhpsb.com', dan role: 'petugas'. Token JWT terbukti valid dan diterima oleh sistem untuk mengakses endpoint protected.</t>
  </si>
  <si>
    <t>Request POST /api/auth/logout dengan header Authorization: Bearer token berhasil diproses. Response 200 OK diterima dengan pesan 'Successfully logged out', token berhasil diinvalidate di sisi server.</t>
  </si>
  <si>
    <t>Request POST /api/auth/register dengan data name: Budi, email: budi@simhpsb.com, password: Test@123, dan password_confirmation: Test@123 berhasil diproses. Response 201 Created diterima dengan pesan 'User registered successfully' beserta data user yang baru dibuat (id: 10, role: petugas).</t>
  </si>
  <si>
    <t>Request POST /api/auth/register dengan email petugas@simhpsb.com yang sudah terdaftar di database ditolak oleh sistem. API mengembalikan response 400 Bad Request dengan pesan validasi 'The email has already been taken.'</t>
  </si>
  <si>
    <t>Request GET /api/auth/me dengan header Authorization: Bearer token valid berhasil mengembalikan response 200 OK berisi data user yang sedang login meliputi id: 2, name: 'Petugas SIMHPSB', email: 'petugas@simhpsb.com', dan role: 'petugas'.</t>
  </si>
  <si>
    <t>Request GET /api/stok/summary tanpa header Authorization ditolak oleh sistem. API mengembalikan response 401 Unauthorized dengan pesan 'Unauthenticated.' dan tidak mengembalikan data stok apapun.</t>
  </si>
  <si>
    <t>Login menggunakan akun role petani (as@gmail.com) dan mencoba mengakses GET /api/distribusi menggunakan token milik akun tersebut, sistem menolak request dan mengembalikan response 403 Forbidden dengan pesan 'Unauthorized'. Data distribusi tidak dikembalikan.</t>
  </si>
  <si>
    <t>Setelah login berhasil di mobile dan aplikasi dipaksa ditutup, token masih tersimpan di flutter_secure_storage. Saat aplikasi dibuka kembali, user langsung diarahkan ke halaman beranda tanpa perlu login ulang.</t>
  </si>
  <si>
    <t>Setelah tap tombol Logout di menu aplikasi mobile, token dihapus dari SharedPreferences dan user diarahkan kembali ke halaman login_screen.dart. Saat mencoba membuka aplikasi kembali, sistem tidak menyimpan sesi dan user tetap berada di halaman login.</t>
  </si>
  <si>
    <t>Request GET /api/stok/summary dengan token petugas berhasil mengembalikan response 200 OK berisi ringkasan stok meliputi saldo_beras: 100, saldo_gabah: 500, kapasitas_beras: 4000, kapasitas_gabah: 4000, serta data transaksi masuk dan keluar bulan ini.</t>
  </si>
  <si>
    <t xml:space="preserve">Request GET /api/stok/monitoring dengan token petugas berhasil mengembalikan response 200 OK berisi list transaksi stok per gudang lengkap dengan id, gudang_id, jenis_transaksi, komoditas, jumlah, keterangan, dan saldo_setelah.
</t>
  </si>
  <si>
    <t>Saldo Beras 100 kg dan Saldo Gabah 500 kg tampil di halaman Stok Gudang mobile. Namun tidak terlihat indikator status 'Aman' secara eksplisit, hanya persentase kapasitas yang ditampilkan (Beras 3%, Gabah 13%).</t>
  </si>
  <si>
    <t>Halaman Alert Stok menampilkan status Beras dengan label 'Kritis' (stok 100 kg, batas minimum 500 kg, 2% dari kapasitas) dan Gabah dengan label 'Rendah' (stok 500 kg, batas minimum 1.000 kg, 10% dari kapasitas). Indikator progress bar merah tampil untuk kedua komoditas.</t>
  </si>
  <si>
    <t>Halaman Alert Stok menampilkan 2 Alert Aktif (Beras dan Gabah), 1 Dalam Penanganan (Jagung), dan 7 Sudah Ditangani. Sistem berhasil mendeteksi komoditas dengan stok di bawah batas minimum beserta detail masing-masing</t>
  </si>
  <si>
    <t>Tombol 'Tandai Ditangani' tersedia pada setiap alert aktif. Alert Jagung sudah berhasil ditandai 'Dalam Penanganan' dan tombol berubah menjadi 'Tandai Selesai', mengonfirmasi bahwa status alert berhasil diperbarui oleh sistem.</t>
  </si>
  <si>
    <t>Request POST /api/stok/catat dengan data gudang_id: 1, komoditas: beras, jumlah: 100, jenis_transaksi: masuk, keterangan: 'Hasil panen Budi' berhasil diproses. Response 201 Created diterima, jumlah_stok beras di gudang 1 bertambah menjadi 200 kg.</t>
  </si>
  <si>
    <t>Halaman Stok Gudang pada aplikasi mobile menampilkan riwayat Mutasi Barang berisi transaksi masuk Beras sebesar +100 kg pada 2026-05-27 pukul 14:57, lengkap dengan komoditas, tujuan/sumber (mbg), dan dicatat oleh Admin SIMHPSB.</t>
  </si>
  <si>
    <t>Request POST /api/stok/catat dengan data gudang_id: 1, komoditas: beras, jumlah: 50, jenis_transaksi: keluar, keterangan: 'Distribusi ke MBG' berhasil diproses. Response 201 Created diterima, jumlah_stok beras berkurang menjadi 150 kg. Stok berada di bawah batas minimum (500 kg), sistem otomatis memperbarui status alert.</t>
  </si>
  <si>
    <t>Request POST /api/stok/catat dengan jumlah keluar 9999 kg melebihi stok tersedia berhasil diproses oleh sistem tanpa validasi. Response 201 Created diterima dan jumlah_stok menjadi -19848 kg (minus). Sistem seharusnya menolak transaksi dengan response 422 dan pesan 'Stok tidak mencukupi', namun validasi ini belum diimplementasikan.</t>
  </si>
  <si>
    <t>Request PUT /api/alert/konfigurasi dengan data batas_min_beras: 300 dan batas_min_gabah: 1000 berhasil diproses. Response 200 OK diterima dengan pesan 'Konfigurasi berhasil disimpan &amp; alert di-perbarui', konfigurasi batas minimum tersimpan dan alert dievaluasi ulang berdasarkan batas baru.</t>
  </si>
  <si>
    <t>Setelah transaksi stok dicatat via Postman (web), halaman Stok Gudang di mobile di-refresh dengan pull to refresh dan sistem memanggil ulang GET /api/stok/monitoring. Data mutasi barang terbaru berhasil ditampilkan termasuk transaksi masuk Beras +100 kg, Gabah +500 kg, dan Beras +100 kg sesuai dengan transaksi yang telah dicatat.</t>
  </si>
  <si>
    <t>Request GET /api/laporan/stok dengan parameter start_date=2025-01-01 dan end_date=2025-06-30 berhasil mengembalikan response 200 OK berisi summary total_stok, gudang_terdata: 1, stok_kurang: 4, serta data grafik stok per tanggal.</t>
  </si>
  <si>
    <t>Halaman Beranda pada aplikasi mobile menampilkan ringkasan stok terkini meliputi Saldo Beras -19.848 kg dan Saldo Gabah 500 kg, Total Petani 3 orang, Data Panen 12 catatan, serta Aktivitas Terakhir berisi riwayat transaksi masuk dan keluar terbaru. Data diambil dari GET /api/stok/summary secara real-time.</t>
  </si>
  <si>
    <t>blocked</t>
  </si>
  <si>
    <t>Pengujian tidak dapat dilakukan karena tidak tersedia akun petugas gudang baru yang belum memiliki data stok di database. Skenario ini memerlukan setup data khusus yang belum disiapkan dalam sesi pengujian ini.</t>
  </si>
  <si>
    <t>Setelah token expired (lebih dari 1 jam), request GET /api/auth/me menggunakan token lama mengembalikan response 401 Unauthorized dengan pesan 'Unauthenticated.' Sistem tidak melakukan refresh token secara otomatis, user harus login ulang untuk mendapatkan token baru.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</si>
</sst>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3"/>
      <color rgb="FFFFFFFF"/>
      <name val="Arial"/>
    </font>
    <font>
      <b/>
      <sz val="9"/>
      <color rgb="FF1B5E20"/>
      <name val="Arial"/>
    </font>
    <font>
      <b/>
      <sz val="10"/>
      <color rgb="FFFFFFFF"/>
      <name val="Arial"/>
    </font>
    <font>
      <sz val="10"/>
      <color rgb="FF333333"/>
      <name val="Arial"/>
    </font>
    <font>
      <sz val="10"/>
      <name val="Arial"/>
    </font>
    <font>
      <b/>
      <sz val="10"/>
      <name val="Arial"/>
    </font>
    <font>
      <sz val="10"/>
      <color rgb="FF1B5E20"/>
      <name val="Arial"/>
    </font>
    <font>
      <sz val="11"/>
      <color theme="1"/>
      <name val="Calibri"/>
      <family val="2"/>
      <charset val="1"/>
    </font>
    <font>
      <sz val="10"/>
      <color rgb="FF333333"/>
      <name val="Arial"/>
      <charset val="1"/>
    </font>
    <font>
      <sz val="10"/>
      <color rgb="FF333333"/>
      <name val="Arial"/>
      <family val="2"/>
    </font>
    <font>
      <b/>
      <sz val="13"/>
      <color theme="1"/>
      <name val="Arial"/>
      <family val="2"/>
    </font>
  </fonts>
  <fills count="17">
    <fill>
      <patternFill patternType="none"/>
    </fill>
    <fill>
      <patternFill patternType="gray125"/>
    </fill>
    <fill>
      <patternFill patternType="solid">
        <fgColor rgb="FF1B5E20"/>
      </patternFill>
    </fill>
    <fill>
      <patternFill patternType="solid">
        <fgColor rgb="FFE8F5E9"/>
      </patternFill>
    </fill>
    <fill>
      <patternFill patternType="solid">
        <fgColor rgb="FF2E7D32"/>
      </patternFill>
    </fill>
    <fill>
      <patternFill patternType="solid">
        <fgColor rgb="FFFFFFFF"/>
      </patternFill>
    </fill>
    <fill>
      <patternFill patternType="solid">
        <fgColor rgb="FFE3F2FD"/>
      </patternFill>
    </fill>
    <fill>
      <patternFill patternType="solid">
        <fgColor rgb="FFFFCDD2"/>
      </patternFill>
    </fill>
    <fill>
      <patternFill patternType="solid">
        <fgColor rgb="FFF5F5F5"/>
      </patternFill>
    </fill>
    <fill>
      <patternFill patternType="solid">
        <fgColor rgb="FFF9FBF9"/>
      </patternFill>
    </fill>
    <fill>
      <patternFill patternType="solid">
        <fgColor rgb="FFFFF8E1"/>
      </patternFill>
    </fill>
    <fill>
      <patternFill patternType="solid">
        <fgColor rgb="FFF3E5F5"/>
      </patternFill>
    </fill>
    <fill>
      <patternFill patternType="solid">
        <fgColor rgb="FFFFEBEE"/>
      </patternFill>
    </fill>
    <fill>
      <patternFill patternType="solid">
        <fgColor rgb="FFFFF9C4"/>
      </patternFill>
    </fill>
    <fill>
      <patternFill patternType="solid">
        <fgColor rgb="FFE8EAF6"/>
      </patternFill>
    </fill>
    <fill>
      <patternFill patternType="solid">
        <fgColor rgb="FFF9FBF9"/>
        <bgColor rgb="FFFFFFFF"/>
      </patternFill>
    </fill>
    <fill>
      <patternFill patternType="solid">
        <fgColor theme="0"/>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s>
  <cellStyleXfs count="2">
    <xf numFmtId="0" fontId="0" fillId="0" borderId="0"/>
    <xf numFmtId="0" fontId="8" fillId="0" borderId="0"/>
  </cellStyleXfs>
  <cellXfs count="37">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9" borderId="1" xfId="0" applyFont="1" applyFill="1" applyBorder="1" applyAlignment="1">
      <alignment horizontal="left"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5" fillId="3" borderId="1" xfId="0" applyFont="1" applyFill="1" applyBorder="1" applyAlignment="1">
      <alignment horizontal="left" vertical="center"/>
    </xf>
    <xf numFmtId="0" fontId="5" fillId="6" borderId="1" xfId="0" applyFont="1" applyFill="1" applyBorder="1" applyAlignment="1">
      <alignment horizontal="center" vertical="center"/>
    </xf>
    <xf numFmtId="0" fontId="5" fillId="6" borderId="1" xfId="0" applyFont="1" applyFill="1" applyBorder="1" applyAlignment="1">
      <alignment horizontal="left" vertical="center"/>
    </xf>
    <xf numFmtId="0" fontId="6" fillId="10" borderId="1" xfId="0" applyFont="1" applyFill="1" applyBorder="1" applyAlignment="1">
      <alignment horizontal="center" vertical="center"/>
    </xf>
    <xf numFmtId="0" fontId="6" fillId="10" borderId="1" xfId="0" applyFont="1" applyFill="1" applyBorder="1" applyAlignment="1">
      <alignment horizontal="left" vertical="center"/>
    </xf>
    <xf numFmtId="0" fontId="2" fillId="3" borderId="1" xfId="0" applyFont="1" applyFill="1" applyBorder="1" applyAlignment="1">
      <alignment horizontal="center" vertical="center"/>
    </xf>
    <xf numFmtId="0" fontId="1" fillId="2" borderId="0" xfId="0" applyFont="1" applyFill="1" applyAlignment="1">
      <alignment horizontal="center" vertical="center"/>
    </xf>
    <xf numFmtId="0" fontId="0" fillId="0" borderId="0" xfId="0"/>
    <xf numFmtId="0" fontId="2" fillId="3" borderId="1" xfId="0" applyFont="1" applyFill="1" applyBorder="1" applyAlignment="1">
      <alignment horizontal="center" vertical="center"/>
    </xf>
    <xf numFmtId="0" fontId="3" fillId="2" borderId="1" xfId="0" applyFont="1" applyFill="1" applyBorder="1" applyAlignment="1">
      <alignment horizontal="left" vertical="center" indent="1"/>
    </xf>
    <xf numFmtId="0" fontId="9" fillId="15" borderId="1" xfId="1" applyFont="1" applyFill="1" applyBorder="1" applyAlignment="1">
      <alignment horizontal="left" vertical="center" wrapText="1"/>
    </xf>
    <xf numFmtId="0" fontId="10" fillId="8" borderId="1" xfId="0" applyFont="1" applyFill="1" applyBorder="1" applyAlignment="1">
      <alignment horizontal="center" vertical="center" wrapText="1"/>
    </xf>
    <xf numFmtId="0" fontId="10" fillId="5" borderId="1" xfId="0" applyFont="1" applyFill="1" applyBorder="1" applyAlignment="1">
      <alignment horizontal="left" vertical="center" wrapText="1"/>
    </xf>
    <xf numFmtId="0" fontId="0" fillId="0" borderId="0" xfId="0" applyFont="1" applyAlignment="1">
      <alignment horizontal="left" vertical="center" wrapText="1"/>
    </xf>
    <xf numFmtId="0" fontId="4" fillId="8" borderId="2" xfId="0" applyFont="1" applyFill="1" applyBorder="1" applyAlignment="1">
      <alignment horizontal="left" vertical="center" indent="1"/>
    </xf>
    <xf numFmtId="0" fontId="4" fillId="8" borderId="0" xfId="0" applyFont="1" applyFill="1" applyBorder="1" applyAlignment="1">
      <alignment horizontal="left" vertical="center" indent="1"/>
    </xf>
    <xf numFmtId="0" fontId="7" fillId="3" borderId="2" xfId="0" applyFont="1" applyFill="1" applyBorder="1" applyAlignment="1">
      <alignment horizontal="left" vertical="center" indent="1"/>
    </xf>
    <xf numFmtId="0" fontId="7" fillId="3" borderId="0" xfId="0" applyFont="1" applyFill="1" applyBorder="1" applyAlignment="1">
      <alignment horizontal="left" vertical="center" indent="1"/>
    </xf>
    <xf numFmtId="0" fontId="0" fillId="16" borderId="0" xfId="0" applyFill="1"/>
    <xf numFmtId="0" fontId="11" fillId="16" borderId="0" xfId="0" applyFont="1" applyFill="1" applyAlignment="1">
      <alignment horizontal="center" vertical="center"/>
    </xf>
    <xf numFmtId="0" fontId="0" fillId="16" borderId="0" xfId="0" applyFont="1" applyFill="1"/>
  </cellXfs>
  <cellStyles count="2">
    <cellStyle name="Normal" xfId="0" builtinId="0"/>
    <cellStyle name="Normal 2" xfId="1" xr:uid="{D2CF1DB6-D36D-4639-88FD-148D8F4AAB3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tabSelected="1" workbookViewId="0">
      <pane ySplit="3" topLeftCell="A4" activePane="bottomLeft" state="frozen"/>
      <selection pane="bottomLeft" activeCell="L1" sqref="L1"/>
    </sheetView>
  </sheetViews>
  <sheetFormatPr defaultRowHeight="14.5" x14ac:dyDescent="0.35"/>
  <cols>
    <col min="1" max="1" width="5" customWidth="1"/>
    <col min="2" max="2" width="14" customWidth="1"/>
    <col min="3" max="3" width="18" customWidth="1"/>
    <col min="4" max="4" width="32" customWidth="1"/>
    <col min="5" max="5" width="38" customWidth="1"/>
    <col min="6" max="6" width="28" customWidth="1"/>
    <col min="7" max="7" width="38" customWidth="1"/>
    <col min="8" max="8" width="30" customWidth="1"/>
    <col min="9" max="9" width="16" customWidth="1"/>
    <col min="10" max="12" width="12" customWidth="1"/>
  </cols>
  <sheetData>
    <row r="1" spans="1:12" ht="28" customHeight="1" x14ac:dyDescent="0.35">
      <c r="A1" s="35" t="s">
        <v>0</v>
      </c>
      <c r="B1" s="34"/>
      <c r="D1" s="36"/>
    </row>
    <row r="2" spans="1:12" ht="18" customHeight="1" x14ac:dyDescent="0.35">
      <c r="A2" s="21" t="s">
        <v>1</v>
      </c>
      <c r="B2" s="21"/>
      <c r="C2" s="21" t="s">
        <v>2</v>
      </c>
      <c r="D2" s="21"/>
      <c r="E2" s="21" t="s">
        <v>3</v>
      </c>
      <c r="F2" s="21"/>
      <c r="G2" s="21" t="s">
        <v>4</v>
      </c>
      <c r="H2" s="21"/>
      <c r="I2" s="21" t="s">
        <v>5</v>
      </c>
      <c r="J2" s="21"/>
      <c r="K2" s="21" t="s">
        <v>211</v>
      </c>
      <c r="L2" s="21"/>
    </row>
    <row r="3" spans="1:12" ht="28" customHeight="1" x14ac:dyDescent="0.35">
      <c r="A3" s="1" t="s">
        <v>6</v>
      </c>
      <c r="B3" s="1" t="s">
        <v>7</v>
      </c>
      <c r="C3" s="1" t="s">
        <v>8</v>
      </c>
      <c r="D3" s="1" t="s">
        <v>9</v>
      </c>
      <c r="E3" s="1" t="s">
        <v>10</v>
      </c>
      <c r="F3" s="1" t="s">
        <v>11</v>
      </c>
      <c r="G3" s="1" t="s">
        <v>12</v>
      </c>
      <c r="H3" s="1" t="s">
        <v>13</v>
      </c>
      <c r="I3" s="1" t="s">
        <v>3</v>
      </c>
      <c r="J3" s="1" t="s">
        <v>14</v>
      </c>
      <c r="K3" s="1" t="s">
        <v>15</v>
      </c>
      <c r="L3" s="1" t="s">
        <v>16</v>
      </c>
    </row>
    <row r="4" spans="1:12" ht="60" customHeight="1" x14ac:dyDescent="0.35">
      <c r="A4" s="2">
        <v>1</v>
      </c>
      <c r="B4" s="3" t="s">
        <v>17</v>
      </c>
      <c r="C4" s="3" t="s">
        <v>18</v>
      </c>
      <c r="D4" s="3" t="s">
        <v>19</v>
      </c>
      <c r="E4" s="3" t="s">
        <v>20</v>
      </c>
      <c r="F4" s="3" t="s">
        <v>21</v>
      </c>
      <c r="G4" s="3" t="s">
        <v>22</v>
      </c>
      <c r="H4" s="26" t="s">
        <v>217</v>
      </c>
      <c r="I4" s="4" t="s">
        <v>23</v>
      </c>
      <c r="J4" s="5" t="s">
        <v>24</v>
      </c>
      <c r="K4" s="6" t="s">
        <v>25</v>
      </c>
      <c r="L4" s="7" t="s">
        <v>213</v>
      </c>
    </row>
    <row r="5" spans="1:12" ht="60" customHeight="1" x14ac:dyDescent="0.35">
      <c r="A5" s="8">
        <v>2</v>
      </c>
      <c r="B5" s="9" t="s">
        <v>27</v>
      </c>
      <c r="C5" s="9" t="s">
        <v>18</v>
      </c>
      <c r="D5" s="9" t="s">
        <v>28</v>
      </c>
      <c r="E5" s="9" t="s">
        <v>29</v>
      </c>
      <c r="F5" s="9" t="s">
        <v>214</v>
      </c>
      <c r="G5" s="9" t="s">
        <v>30</v>
      </c>
      <c r="H5" s="26" t="s">
        <v>216</v>
      </c>
      <c r="I5" s="10" t="s">
        <v>31</v>
      </c>
      <c r="J5" s="5" t="s">
        <v>24</v>
      </c>
      <c r="K5" s="6" t="s">
        <v>25</v>
      </c>
      <c r="L5" s="7" t="s">
        <v>213</v>
      </c>
    </row>
    <row r="6" spans="1:12" ht="60" customHeight="1" x14ac:dyDescent="0.35">
      <c r="A6" s="2">
        <v>3</v>
      </c>
      <c r="B6" s="3" t="s">
        <v>32</v>
      </c>
      <c r="C6" s="3" t="s">
        <v>18</v>
      </c>
      <c r="D6" s="3" t="s">
        <v>33</v>
      </c>
      <c r="E6" s="3" t="s">
        <v>34</v>
      </c>
      <c r="F6" s="3" t="s">
        <v>35</v>
      </c>
      <c r="G6" s="3" t="s">
        <v>36</v>
      </c>
      <c r="H6" s="3" t="s">
        <v>215</v>
      </c>
      <c r="I6" s="11" t="s">
        <v>37</v>
      </c>
      <c r="J6" s="12" t="s">
        <v>38</v>
      </c>
      <c r="K6" s="6" t="s">
        <v>25</v>
      </c>
      <c r="L6" s="7" t="s">
        <v>213</v>
      </c>
    </row>
    <row r="7" spans="1:12" ht="60" customHeight="1" x14ac:dyDescent="0.35">
      <c r="A7" s="8">
        <v>4</v>
      </c>
      <c r="B7" s="9" t="s">
        <v>39</v>
      </c>
      <c r="C7" s="9" t="s">
        <v>18</v>
      </c>
      <c r="D7" s="9" t="s">
        <v>40</v>
      </c>
      <c r="E7" s="9" t="s">
        <v>41</v>
      </c>
      <c r="F7" s="9" t="s">
        <v>42</v>
      </c>
      <c r="G7" s="9" t="s">
        <v>43</v>
      </c>
      <c r="H7" s="3" t="s">
        <v>215</v>
      </c>
      <c r="I7" s="11" t="s">
        <v>37</v>
      </c>
      <c r="J7" s="12" t="s">
        <v>38</v>
      </c>
      <c r="K7" s="6" t="s">
        <v>25</v>
      </c>
      <c r="L7" s="7" t="s">
        <v>213</v>
      </c>
    </row>
    <row r="8" spans="1:12" ht="60" customHeight="1" x14ac:dyDescent="0.35">
      <c r="A8" s="2">
        <v>5</v>
      </c>
      <c r="B8" s="3" t="s">
        <v>44</v>
      </c>
      <c r="C8" s="3" t="s">
        <v>18</v>
      </c>
      <c r="D8" s="3" t="s">
        <v>45</v>
      </c>
      <c r="E8" s="3" t="s">
        <v>46</v>
      </c>
      <c r="F8" s="3" t="s">
        <v>47</v>
      </c>
      <c r="G8" s="3" t="s">
        <v>48</v>
      </c>
      <c r="H8" s="28" t="s">
        <v>218</v>
      </c>
      <c r="I8" s="11" t="s">
        <v>37</v>
      </c>
      <c r="J8" s="12" t="s">
        <v>38</v>
      </c>
      <c r="K8" s="13" t="s">
        <v>49</v>
      </c>
      <c r="L8" s="7" t="s">
        <v>219</v>
      </c>
    </row>
    <row r="9" spans="1:12" ht="60" customHeight="1" x14ac:dyDescent="0.35">
      <c r="A9" s="8">
        <v>6</v>
      </c>
      <c r="B9" s="9" t="s">
        <v>50</v>
      </c>
      <c r="C9" s="9" t="s">
        <v>51</v>
      </c>
      <c r="D9" s="9" t="s">
        <v>52</v>
      </c>
      <c r="E9" s="9" t="s">
        <v>53</v>
      </c>
      <c r="F9" s="9" t="s">
        <v>54</v>
      </c>
      <c r="G9" s="9" t="s">
        <v>55</v>
      </c>
      <c r="H9" s="28" t="s">
        <v>220</v>
      </c>
      <c r="I9" s="10" t="s">
        <v>31</v>
      </c>
      <c r="J9" s="5" t="s">
        <v>24</v>
      </c>
      <c r="K9" s="6" t="s">
        <v>25</v>
      </c>
      <c r="L9" s="27" t="s">
        <v>213</v>
      </c>
    </row>
    <row r="10" spans="1:12" ht="60" customHeight="1" x14ac:dyDescent="0.35">
      <c r="A10" s="2">
        <v>7</v>
      </c>
      <c r="B10" s="3" t="s">
        <v>56</v>
      </c>
      <c r="C10" s="3" t="s">
        <v>51</v>
      </c>
      <c r="D10" s="3" t="s">
        <v>57</v>
      </c>
      <c r="E10" s="3" t="s">
        <v>58</v>
      </c>
      <c r="F10" s="3" t="s">
        <v>59</v>
      </c>
      <c r="G10" s="3" t="s">
        <v>60</v>
      </c>
      <c r="H10" s="29" t="s">
        <v>245</v>
      </c>
      <c r="I10" s="10" t="s">
        <v>31</v>
      </c>
      <c r="J10" s="5" t="s">
        <v>24</v>
      </c>
      <c r="K10" s="6" t="s">
        <v>25</v>
      </c>
      <c r="L10" s="27" t="s">
        <v>219</v>
      </c>
    </row>
    <row r="11" spans="1:12" ht="60" customHeight="1" x14ac:dyDescent="0.35">
      <c r="A11" s="8">
        <v>8</v>
      </c>
      <c r="B11" s="9" t="s">
        <v>61</v>
      </c>
      <c r="C11" s="9" t="s">
        <v>62</v>
      </c>
      <c r="D11" s="9" t="s">
        <v>63</v>
      </c>
      <c r="E11" s="9" t="s">
        <v>64</v>
      </c>
      <c r="F11" s="9" t="s">
        <v>26</v>
      </c>
      <c r="G11" s="9" t="s">
        <v>65</v>
      </c>
      <c r="H11" s="28" t="s">
        <v>221</v>
      </c>
      <c r="I11" s="4" t="s">
        <v>23</v>
      </c>
      <c r="J11" s="5" t="s">
        <v>24</v>
      </c>
      <c r="K11" s="6" t="s">
        <v>25</v>
      </c>
      <c r="L11" s="27" t="s">
        <v>213</v>
      </c>
    </row>
    <row r="12" spans="1:12" ht="60" customHeight="1" x14ac:dyDescent="0.35">
      <c r="A12" s="2">
        <v>9</v>
      </c>
      <c r="B12" s="3" t="s">
        <v>66</v>
      </c>
      <c r="C12" s="3" t="s">
        <v>62</v>
      </c>
      <c r="D12" s="3" t="s">
        <v>67</v>
      </c>
      <c r="E12" s="3" t="s">
        <v>68</v>
      </c>
      <c r="F12" s="3" t="s">
        <v>26</v>
      </c>
      <c r="G12" s="3" t="s">
        <v>69</v>
      </c>
      <c r="H12" s="28" t="s">
        <v>228</v>
      </c>
      <c r="I12" s="10" t="s">
        <v>31</v>
      </c>
      <c r="J12" s="5" t="s">
        <v>24</v>
      </c>
      <c r="K12" s="6" t="s">
        <v>25</v>
      </c>
      <c r="L12" s="27" t="s">
        <v>213</v>
      </c>
    </row>
    <row r="13" spans="1:12" ht="60" customHeight="1" x14ac:dyDescent="0.35">
      <c r="A13" s="8">
        <v>10</v>
      </c>
      <c r="B13" s="9" t="s">
        <v>70</v>
      </c>
      <c r="C13" s="9" t="s">
        <v>71</v>
      </c>
      <c r="D13" s="9" t="s">
        <v>72</v>
      </c>
      <c r="E13" s="9" t="s">
        <v>73</v>
      </c>
      <c r="F13" s="9" t="s">
        <v>74</v>
      </c>
      <c r="G13" s="9" t="s">
        <v>75</v>
      </c>
      <c r="H13" s="28" t="s">
        <v>222</v>
      </c>
      <c r="I13" s="14" t="s">
        <v>76</v>
      </c>
      <c r="J13" s="5" t="s">
        <v>24</v>
      </c>
      <c r="K13" s="13" t="s">
        <v>49</v>
      </c>
      <c r="L13" s="27" t="s">
        <v>213</v>
      </c>
    </row>
    <row r="14" spans="1:12" ht="60" customHeight="1" x14ac:dyDescent="0.35">
      <c r="A14" s="2">
        <v>11</v>
      </c>
      <c r="B14" s="3" t="s">
        <v>77</v>
      </c>
      <c r="C14" s="3" t="s">
        <v>71</v>
      </c>
      <c r="D14" s="3" t="s">
        <v>78</v>
      </c>
      <c r="E14" s="3" t="s">
        <v>79</v>
      </c>
      <c r="F14" s="3" t="s">
        <v>80</v>
      </c>
      <c r="G14" s="3" t="s">
        <v>81</v>
      </c>
      <c r="H14" s="28" t="s">
        <v>223</v>
      </c>
      <c r="I14" s="14" t="s">
        <v>76</v>
      </c>
      <c r="J14" s="12" t="s">
        <v>38</v>
      </c>
      <c r="K14" s="13" t="s">
        <v>49</v>
      </c>
      <c r="L14" s="27" t="s">
        <v>213</v>
      </c>
    </row>
    <row r="15" spans="1:12" ht="60" customHeight="1" x14ac:dyDescent="0.35">
      <c r="A15" s="8">
        <v>12</v>
      </c>
      <c r="B15" s="9" t="s">
        <v>82</v>
      </c>
      <c r="C15" s="9" t="s">
        <v>83</v>
      </c>
      <c r="D15" s="9" t="s">
        <v>84</v>
      </c>
      <c r="E15" s="9" t="s">
        <v>85</v>
      </c>
      <c r="F15" s="9" t="s">
        <v>86</v>
      </c>
      <c r="G15" s="9" t="s">
        <v>87</v>
      </c>
      <c r="H15" s="28" t="s">
        <v>224</v>
      </c>
      <c r="I15" s="14" t="s">
        <v>88</v>
      </c>
      <c r="J15" s="5" t="s">
        <v>24</v>
      </c>
      <c r="K15" s="13" t="s">
        <v>49</v>
      </c>
      <c r="L15" s="27" t="s">
        <v>213</v>
      </c>
    </row>
    <row r="16" spans="1:12" ht="60" customHeight="1" x14ac:dyDescent="0.35">
      <c r="A16" s="2">
        <v>13</v>
      </c>
      <c r="B16" s="3" t="s">
        <v>89</v>
      </c>
      <c r="C16" s="3" t="s">
        <v>90</v>
      </c>
      <c r="D16" s="3" t="s">
        <v>91</v>
      </c>
      <c r="E16" s="3" t="s">
        <v>92</v>
      </c>
      <c r="F16" s="3" t="s">
        <v>93</v>
      </c>
      <c r="G16" s="3" t="s">
        <v>94</v>
      </c>
      <c r="H16" s="28" t="s">
        <v>225</v>
      </c>
      <c r="I16" s="14" t="s">
        <v>88</v>
      </c>
      <c r="J16" s="12" t="s">
        <v>38</v>
      </c>
      <c r="K16" s="6" t="s">
        <v>25</v>
      </c>
      <c r="L16" s="27" t="s">
        <v>213</v>
      </c>
    </row>
    <row r="17" spans="1:12" ht="60" customHeight="1" x14ac:dyDescent="0.35">
      <c r="A17" s="8">
        <v>14</v>
      </c>
      <c r="B17" s="9" t="s">
        <v>95</v>
      </c>
      <c r="C17" s="9" t="s">
        <v>90</v>
      </c>
      <c r="D17" s="9" t="s">
        <v>96</v>
      </c>
      <c r="E17" s="9" t="s">
        <v>97</v>
      </c>
      <c r="F17" s="9" t="s">
        <v>98</v>
      </c>
      <c r="G17" s="9" t="s">
        <v>99</v>
      </c>
      <c r="H17" s="28" t="s">
        <v>226</v>
      </c>
      <c r="I17" s="14" t="s">
        <v>88</v>
      </c>
      <c r="J17" s="12" t="s">
        <v>38</v>
      </c>
      <c r="K17" s="6" t="s">
        <v>25</v>
      </c>
      <c r="L17" s="27" t="s">
        <v>213</v>
      </c>
    </row>
    <row r="18" spans="1:12" ht="60" customHeight="1" x14ac:dyDescent="0.35">
      <c r="A18" s="2">
        <v>15</v>
      </c>
      <c r="B18" s="3" t="s">
        <v>100</v>
      </c>
      <c r="C18" s="3" t="s">
        <v>101</v>
      </c>
      <c r="D18" s="3" t="s">
        <v>102</v>
      </c>
      <c r="E18" s="3" t="s">
        <v>103</v>
      </c>
      <c r="F18" s="3" t="s">
        <v>26</v>
      </c>
      <c r="G18" s="3" t="s">
        <v>104</v>
      </c>
      <c r="H18" s="28" t="s">
        <v>227</v>
      </c>
      <c r="I18" s="10" t="s">
        <v>31</v>
      </c>
      <c r="J18" s="5" t="s">
        <v>24</v>
      </c>
      <c r="K18" s="13" t="s">
        <v>49</v>
      </c>
      <c r="L18" s="27" t="s">
        <v>213</v>
      </c>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8"/>
  <sheetViews>
    <sheetView topLeftCell="F1" workbookViewId="0">
      <pane ySplit="3" topLeftCell="A16" activePane="bottomLeft" state="frozen"/>
      <selection pane="bottomLeft" activeCell="M17" sqref="M17"/>
    </sheetView>
  </sheetViews>
  <sheetFormatPr defaultRowHeight="14.5" x14ac:dyDescent="0.35"/>
  <cols>
    <col min="1" max="1" width="5" customWidth="1"/>
    <col min="2" max="2" width="14" customWidth="1"/>
    <col min="3" max="3" width="18" customWidth="1"/>
    <col min="4" max="4" width="32" customWidth="1"/>
    <col min="5" max="5" width="38" customWidth="1"/>
    <col min="6" max="6" width="28" customWidth="1"/>
    <col min="7" max="7" width="38" customWidth="1"/>
    <col min="8" max="8" width="30" customWidth="1"/>
    <col min="9" max="9" width="16" customWidth="1"/>
    <col min="10" max="12" width="12" customWidth="1"/>
  </cols>
  <sheetData>
    <row r="1" spans="1:12" ht="28" customHeight="1" x14ac:dyDescent="0.35">
      <c r="A1" s="22" t="s">
        <v>105</v>
      </c>
      <c r="B1" s="23"/>
      <c r="C1" s="23"/>
      <c r="D1" s="23"/>
      <c r="E1" s="23"/>
      <c r="F1" s="23"/>
      <c r="G1" s="23"/>
      <c r="H1" s="23"/>
      <c r="I1" s="23"/>
      <c r="J1" s="23"/>
      <c r="K1" s="23"/>
      <c r="L1" s="23"/>
    </row>
    <row r="2" spans="1:12" ht="18" customHeight="1" x14ac:dyDescent="0.35">
      <c r="A2" s="24" t="s">
        <v>1</v>
      </c>
      <c r="B2" s="24"/>
      <c r="C2" s="24" t="s">
        <v>106</v>
      </c>
      <c r="D2" s="24"/>
      <c r="E2" s="24" t="s">
        <v>3</v>
      </c>
      <c r="F2" s="24"/>
      <c r="G2" s="24" t="s">
        <v>4</v>
      </c>
      <c r="H2" s="24"/>
      <c r="I2" s="24" t="s">
        <v>5</v>
      </c>
      <c r="J2" s="24"/>
      <c r="K2" s="24" t="s">
        <v>211</v>
      </c>
      <c r="L2" s="24"/>
    </row>
    <row r="3" spans="1:12" ht="28" customHeight="1" x14ac:dyDescent="0.35">
      <c r="A3" s="1" t="s">
        <v>6</v>
      </c>
      <c r="B3" s="1" t="s">
        <v>7</v>
      </c>
      <c r="C3" s="1" t="s">
        <v>8</v>
      </c>
      <c r="D3" s="1" t="s">
        <v>9</v>
      </c>
      <c r="E3" s="1" t="s">
        <v>10</v>
      </c>
      <c r="F3" s="1" t="s">
        <v>11</v>
      </c>
      <c r="G3" s="1" t="s">
        <v>12</v>
      </c>
      <c r="H3" s="1" t="s">
        <v>13</v>
      </c>
      <c r="I3" s="1" t="s">
        <v>3</v>
      </c>
      <c r="J3" s="1" t="s">
        <v>14</v>
      </c>
      <c r="K3" s="1" t="s">
        <v>15</v>
      </c>
      <c r="L3" s="1" t="s">
        <v>16</v>
      </c>
    </row>
    <row r="4" spans="1:12" ht="60" customHeight="1" x14ac:dyDescent="0.35">
      <c r="A4" s="2">
        <v>1</v>
      </c>
      <c r="B4" s="3" t="s">
        <v>107</v>
      </c>
      <c r="C4" s="3" t="s">
        <v>108</v>
      </c>
      <c r="D4" s="3" t="s">
        <v>109</v>
      </c>
      <c r="E4" s="3" t="s">
        <v>110</v>
      </c>
      <c r="F4" s="3" t="s">
        <v>111</v>
      </c>
      <c r="G4" s="3" t="s">
        <v>112</v>
      </c>
      <c r="H4" s="28" t="s">
        <v>229</v>
      </c>
      <c r="I4" s="4" t="s">
        <v>23</v>
      </c>
      <c r="J4" s="5" t="s">
        <v>24</v>
      </c>
      <c r="K4" s="6" t="s">
        <v>25</v>
      </c>
      <c r="L4" s="27" t="s">
        <v>212</v>
      </c>
    </row>
    <row r="5" spans="1:12" ht="60" customHeight="1" x14ac:dyDescent="0.35">
      <c r="A5" s="8">
        <v>2</v>
      </c>
      <c r="B5" s="9" t="s">
        <v>113</v>
      </c>
      <c r="C5" s="9" t="s">
        <v>114</v>
      </c>
      <c r="D5" s="9" t="s">
        <v>115</v>
      </c>
      <c r="E5" s="9" t="s">
        <v>116</v>
      </c>
      <c r="F5" s="9" t="s">
        <v>117</v>
      </c>
      <c r="G5" s="9" t="s">
        <v>118</v>
      </c>
      <c r="H5" s="28" t="s">
        <v>230</v>
      </c>
      <c r="I5" s="10" t="s">
        <v>31</v>
      </c>
      <c r="J5" s="5" t="s">
        <v>24</v>
      </c>
      <c r="K5" s="6" t="s">
        <v>25</v>
      </c>
      <c r="L5" s="27" t="s">
        <v>212</v>
      </c>
    </row>
    <row r="6" spans="1:12" ht="60" customHeight="1" x14ac:dyDescent="0.35">
      <c r="A6" s="2">
        <v>3</v>
      </c>
      <c r="B6" s="3" t="s">
        <v>119</v>
      </c>
      <c r="C6" s="3" t="s">
        <v>120</v>
      </c>
      <c r="D6" s="3" t="s">
        <v>121</v>
      </c>
      <c r="E6" s="3" t="s">
        <v>122</v>
      </c>
      <c r="F6" s="3" t="s">
        <v>123</v>
      </c>
      <c r="G6" s="3" t="s">
        <v>124</v>
      </c>
      <c r="H6" s="28" t="s">
        <v>231</v>
      </c>
      <c r="I6" s="11" t="s">
        <v>37</v>
      </c>
      <c r="J6" s="5" t="s">
        <v>24</v>
      </c>
      <c r="K6" s="6" t="s">
        <v>25</v>
      </c>
      <c r="L6" s="27" t="s">
        <v>212</v>
      </c>
    </row>
    <row r="7" spans="1:12" ht="60" customHeight="1" x14ac:dyDescent="0.35">
      <c r="A7" s="8">
        <v>4</v>
      </c>
      <c r="B7" s="9" t="s">
        <v>125</v>
      </c>
      <c r="C7" s="9" t="s">
        <v>126</v>
      </c>
      <c r="D7" s="9" t="s">
        <v>127</v>
      </c>
      <c r="E7" s="9" t="s">
        <v>128</v>
      </c>
      <c r="F7" s="9" t="s">
        <v>129</v>
      </c>
      <c r="G7" s="9" t="s">
        <v>130</v>
      </c>
      <c r="H7" s="28" t="s">
        <v>232</v>
      </c>
      <c r="I7" s="11" t="s">
        <v>37</v>
      </c>
      <c r="J7" s="5" t="s">
        <v>24</v>
      </c>
      <c r="K7" s="6" t="s">
        <v>25</v>
      </c>
      <c r="L7" s="27" t="s">
        <v>212</v>
      </c>
    </row>
    <row r="8" spans="1:12" ht="60" customHeight="1" x14ac:dyDescent="0.35">
      <c r="A8" s="2">
        <v>5</v>
      </c>
      <c r="B8" s="3" t="s">
        <v>131</v>
      </c>
      <c r="C8" s="3" t="s">
        <v>126</v>
      </c>
      <c r="D8" s="3" t="s">
        <v>132</v>
      </c>
      <c r="E8" s="3" t="s">
        <v>133</v>
      </c>
      <c r="F8" s="3" t="s">
        <v>134</v>
      </c>
      <c r="G8" s="3" t="s">
        <v>135</v>
      </c>
      <c r="H8" s="28" t="s">
        <v>233</v>
      </c>
      <c r="I8" s="14" t="s">
        <v>88</v>
      </c>
      <c r="J8" s="5" t="s">
        <v>24</v>
      </c>
      <c r="K8" s="6" t="s">
        <v>25</v>
      </c>
      <c r="L8" s="27" t="s">
        <v>212</v>
      </c>
    </row>
    <row r="9" spans="1:12" ht="60" customHeight="1" x14ac:dyDescent="0.35">
      <c r="A9" s="8">
        <v>6</v>
      </c>
      <c r="B9" s="9" t="s">
        <v>136</v>
      </c>
      <c r="C9" s="9" t="s">
        <v>137</v>
      </c>
      <c r="D9" s="9" t="s">
        <v>138</v>
      </c>
      <c r="E9" s="9" t="s">
        <v>139</v>
      </c>
      <c r="F9" s="9" t="s">
        <v>86</v>
      </c>
      <c r="G9" s="9" t="s">
        <v>140</v>
      </c>
      <c r="H9" s="28" t="s">
        <v>236</v>
      </c>
      <c r="I9" s="14" t="s">
        <v>76</v>
      </c>
      <c r="J9" s="5" t="s">
        <v>24</v>
      </c>
      <c r="K9" s="13" t="s">
        <v>49</v>
      </c>
      <c r="L9" s="27" t="s">
        <v>212</v>
      </c>
    </row>
    <row r="10" spans="1:12" ht="60" customHeight="1" x14ac:dyDescent="0.35">
      <c r="A10" s="2">
        <v>7</v>
      </c>
      <c r="B10" s="3" t="s">
        <v>141</v>
      </c>
      <c r="C10" s="3" t="s">
        <v>142</v>
      </c>
      <c r="D10" s="3" t="s">
        <v>143</v>
      </c>
      <c r="E10" s="3" t="s">
        <v>144</v>
      </c>
      <c r="F10" s="3" t="s">
        <v>145</v>
      </c>
      <c r="G10" s="3" t="s">
        <v>146</v>
      </c>
      <c r="H10" s="28" t="s">
        <v>235</v>
      </c>
      <c r="I10" s="2" t="s">
        <v>147</v>
      </c>
      <c r="J10" s="5" t="s">
        <v>24</v>
      </c>
      <c r="K10" s="6" t="s">
        <v>25</v>
      </c>
      <c r="L10" s="27" t="s">
        <v>212</v>
      </c>
    </row>
    <row r="11" spans="1:12" ht="60" customHeight="1" x14ac:dyDescent="0.35">
      <c r="A11" s="8">
        <v>8</v>
      </c>
      <c r="B11" s="9" t="s">
        <v>148</v>
      </c>
      <c r="C11" s="9" t="s">
        <v>142</v>
      </c>
      <c r="D11" s="9" t="s">
        <v>149</v>
      </c>
      <c r="E11" s="9" t="s">
        <v>150</v>
      </c>
      <c r="F11" s="9" t="s">
        <v>151</v>
      </c>
      <c r="G11" s="9" t="s">
        <v>152</v>
      </c>
      <c r="H11" s="28" t="s">
        <v>237</v>
      </c>
      <c r="I11" s="8" t="s">
        <v>147</v>
      </c>
      <c r="J11" s="5" t="s">
        <v>24</v>
      </c>
      <c r="K11" s="6" t="s">
        <v>25</v>
      </c>
      <c r="L11" s="27" t="s">
        <v>212</v>
      </c>
    </row>
    <row r="12" spans="1:12" ht="60" customHeight="1" x14ac:dyDescent="0.35">
      <c r="A12" s="2">
        <v>9</v>
      </c>
      <c r="B12" s="3" t="s">
        <v>153</v>
      </c>
      <c r="C12" s="3" t="s">
        <v>154</v>
      </c>
      <c r="D12" s="3" t="s">
        <v>155</v>
      </c>
      <c r="E12" s="3" t="s">
        <v>156</v>
      </c>
      <c r="F12" s="3" t="s">
        <v>157</v>
      </c>
      <c r="G12" s="3" t="s">
        <v>158</v>
      </c>
      <c r="H12" s="28" t="s">
        <v>238</v>
      </c>
      <c r="I12" s="14" t="s">
        <v>88</v>
      </c>
      <c r="J12" s="12" t="s">
        <v>38</v>
      </c>
      <c r="K12" s="6" t="s">
        <v>25</v>
      </c>
      <c r="L12" s="27" t="s">
        <v>219</v>
      </c>
    </row>
    <row r="13" spans="1:12" ht="60" customHeight="1" x14ac:dyDescent="0.35">
      <c r="A13" s="8">
        <v>10</v>
      </c>
      <c r="B13" s="9" t="s">
        <v>159</v>
      </c>
      <c r="C13" s="9" t="s">
        <v>160</v>
      </c>
      <c r="D13" s="9" t="s">
        <v>161</v>
      </c>
      <c r="E13" s="9" t="s">
        <v>162</v>
      </c>
      <c r="F13" s="9" t="s">
        <v>163</v>
      </c>
      <c r="G13" s="9" t="s">
        <v>164</v>
      </c>
      <c r="H13" s="28" t="s">
        <v>239</v>
      </c>
      <c r="I13" s="8" t="s">
        <v>147</v>
      </c>
      <c r="J13" s="5" t="s">
        <v>24</v>
      </c>
      <c r="K13" s="13" t="s">
        <v>49</v>
      </c>
      <c r="L13" s="27" t="s">
        <v>212</v>
      </c>
    </row>
    <row r="14" spans="1:12" ht="60" customHeight="1" x14ac:dyDescent="0.35">
      <c r="A14" s="2">
        <v>11</v>
      </c>
      <c r="B14" s="3" t="s">
        <v>165</v>
      </c>
      <c r="C14" s="3" t="s">
        <v>166</v>
      </c>
      <c r="D14" s="3" t="s">
        <v>167</v>
      </c>
      <c r="E14" s="3" t="s">
        <v>168</v>
      </c>
      <c r="F14" s="3" t="s">
        <v>169</v>
      </c>
      <c r="G14" s="3" t="s">
        <v>170</v>
      </c>
      <c r="H14" s="28" t="s">
        <v>240</v>
      </c>
      <c r="I14" s="11" t="s">
        <v>37</v>
      </c>
      <c r="J14" s="5" t="s">
        <v>24</v>
      </c>
      <c r="K14" s="6" t="s">
        <v>25</v>
      </c>
      <c r="L14" s="27" t="s">
        <v>212</v>
      </c>
    </row>
    <row r="15" spans="1:12" ht="60" customHeight="1" x14ac:dyDescent="0.35">
      <c r="A15" s="8">
        <v>12</v>
      </c>
      <c r="B15" s="9" t="s">
        <v>171</v>
      </c>
      <c r="C15" s="9" t="s">
        <v>172</v>
      </c>
      <c r="D15" s="9" t="s">
        <v>173</v>
      </c>
      <c r="E15" s="9" t="s">
        <v>174</v>
      </c>
      <c r="F15" s="9" t="s">
        <v>175</v>
      </c>
      <c r="G15" s="9" t="s">
        <v>176</v>
      </c>
      <c r="H15" s="28" t="s">
        <v>241</v>
      </c>
      <c r="I15" s="14" t="s">
        <v>76</v>
      </c>
      <c r="J15" s="5" t="s">
        <v>24</v>
      </c>
      <c r="K15" s="13" t="s">
        <v>49</v>
      </c>
      <c r="L15" s="27" t="s">
        <v>212</v>
      </c>
    </row>
    <row r="16" spans="1:12" ht="60" customHeight="1" x14ac:dyDescent="0.35">
      <c r="A16" s="2">
        <v>13</v>
      </c>
      <c r="B16" s="3" t="s">
        <v>177</v>
      </c>
      <c r="C16" s="3" t="s">
        <v>178</v>
      </c>
      <c r="D16" s="3" t="s">
        <v>179</v>
      </c>
      <c r="E16" s="3" t="s">
        <v>180</v>
      </c>
      <c r="F16" s="3" t="s">
        <v>86</v>
      </c>
      <c r="G16" s="3" t="s">
        <v>181</v>
      </c>
      <c r="H16" s="28" t="s">
        <v>242</v>
      </c>
      <c r="I16" s="10" t="s">
        <v>31</v>
      </c>
      <c r="J16" s="5" t="s">
        <v>24</v>
      </c>
      <c r="K16" s="6" t="s">
        <v>25</v>
      </c>
      <c r="L16" s="27" t="s">
        <v>212</v>
      </c>
    </row>
    <row r="17" spans="1:12" ht="60" customHeight="1" x14ac:dyDescent="0.35">
      <c r="A17" s="8">
        <v>14</v>
      </c>
      <c r="B17" s="9" t="s">
        <v>182</v>
      </c>
      <c r="C17" s="9" t="s">
        <v>178</v>
      </c>
      <c r="D17" s="9" t="s">
        <v>183</v>
      </c>
      <c r="E17" s="9" t="s">
        <v>184</v>
      </c>
      <c r="F17" s="9" t="s">
        <v>185</v>
      </c>
      <c r="G17" s="9" t="s">
        <v>186</v>
      </c>
      <c r="H17" s="28" t="s">
        <v>244</v>
      </c>
      <c r="I17" s="11" t="s">
        <v>37</v>
      </c>
      <c r="J17" s="12" t="s">
        <v>38</v>
      </c>
      <c r="K17" s="13" t="s">
        <v>49</v>
      </c>
      <c r="L17" s="27" t="s">
        <v>243</v>
      </c>
    </row>
    <row r="18" spans="1:12" ht="60" customHeight="1" x14ac:dyDescent="0.35">
      <c r="A18" s="2">
        <v>15</v>
      </c>
      <c r="B18" s="3" t="s">
        <v>187</v>
      </c>
      <c r="C18" s="3" t="s">
        <v>188</v>
      </c>
      <c r="D18" s="3" t="s">
        <v>189</v>
      </c>
      <c r="E18" s="3" t="s">
        <v>190</v>
      </c>
      <c r="F18" s="3" t="s">
        <v>191</v>
      </c>
      <c r="G18" s="3" t="s">
        <v>192</v>
      </c>
      <c r="H18" s="28" t="s">
        <v>234</v>
      </c>
      <c r="I18" s="2" t="s">
        <v>147</v>
      </c>
      <c r="J18" s="5" t="s">
        <v>24</v>
      </c>
      <c r="K18" s="13" t="s">
        <v>49</v>
      </c>
      <c r="L18" s="27" t="s">
        <v>212</v>
      </c>
    </row>
  </sheetData>
  <mergeCells count="7">
    <mergeCell ref="A1:L1"/>
    <mergeCell ref="A2:B2"/>
    <mergeCell ref="C2:D2"/>
    <mergeCell ref="G2:H2"/>
    <mergeCell ref="E2:F2"/>
    <mergeCell ref="K2:L2"/>
    <mergeCell ref="I2:J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
  <sheetViews>
    <sheetView workbookViewId="0">
      <selection activeCell="A6" sqref="A6:G13"/>
    </sheetView>
  </sheetViews>
  <sheetFormatPr defaultRowHeight="14.5" x14ac:dyDescent="0.35"/>
  <cols>
    <col min="1" max="1" width="8" customWidth="1"/>
    <col min="2" max="2" width="38" customWidth="1"/>
    <col min="3" max="3" width="12" customWidth="1"/>
    <col min="4" max="5" width="10" customWidth="1"/>
    <col min="6" max="6" width="12" customWidth="1"/>
    <col min="7" max="7" width="14" customWidth="1"/>
  </cols>
  <sheetData>
    <row r="1" spans="1:7" ht="28" customHeight="1" x14ac:dyDescent="0.35">
      <c r="A1" s="22" t="s">
        <v>193</v>
      </c>
      <c r="B1" s="23"/>
      <c r="C1" s="23"/>
      <c r="D1" s="23"/>
      <c r="E1" s="23"/>
      <c r="F1" s="23"/>
      <c r="G1" s="23"/>
    </row>
    <row r="2" spans="1:7" ht="22" customHeight="1" x14ac:dyDescent="0.35">
      <c r="A2" s="1" t="s">
        <v>1</v>
      </c>
      <c r="B2" s="1" t="s">
        <v>194</v>
      </c>
      <c r="C2" s="1" t="s">
        <v>195</v>
      </c>
      <c r="D2" s="1" t="s">
        <v>196</v>
      </c>
      <c r="E2" s="1" t="s">
        <v>197</v>
      </c>
      <c r="F2" s="1" t="s">
        <v>198</v>
      </c>
      <c r="G2" s="1" t="s">
        <v>199</v>
      </c>
    </row>
    <row r="3" spans="1:7" ht="22" customHeight="1" x14ac:dyDescent="0.35">
      <c r="A3" s="15" t="s">
        <v>2</v>
      </c>
      <c r="B3" s="16" t="s">
        <v>200</v>
      </c>
      <c r="C3" s="15">
        <v>15</v>
      </c>
      <c r="D3" s="15">
        <f>COUNTIF('TC-73 Login &amp; Register'!L4:L18,"Pass")</f>
        <v>0</v>
      </c>
      <c r="E3" s="15">
        <f>COUNTIF('TC-73 Login &amp; Register'!L4:L18,"Fail")</f>
        <v>2</v>
      </c>
      <c r="F3" s="15">
        <f>COUNTIF('TC-73 Login &amp; Register'!L4:L18,"Blocked")</f>
        <v>0</v>
      </c>
      <c r="G3" s="15">
        <f>COUNTIF('TC-73 Login &amp; Register'!L4:L18,"-")</f>
        <v>0</v>
      </c>
    </row>
    <row r="4" spans="1:7" ht="22" customHeight="1" x14ac:dyDescent="0.35">
      <c r="A4" s="17" t="s">
        <v>106</v>
      </c>
      <c r="B4" s="18" t="s">
        <v>201</v>
      </c>
      <c r="C4" s="17">
        <v>15</v>
      </c>
      <c r="D4" s="17">
        <f>COUNTIF('TC-76 Monitoring Stok'!L4:L18,"Pass")</f>
        <v>13</v>
      </c>
      <c r="E4" s="17">
        <f>COUNTIF('TC-76 Monitoring Stok'!L4:L18,"Fail")</f>
        <v>1</v>
      </c>
      <c r="F4" s="17">
        <f>COUNTIF('TC-76 Monitoring Stok'!L4:L18,"Blocked")</f>
        <v>1</v>
      </c>
      <c r="G4" s="17">
        <f>COUNTIF('TC-76 Monitoring Stok'!L4:L18,"-")</f>
        <v>0</v>
      </c>
    </row>
    <row r="5" spans="1:7" ht="22" customHeight="1" x14ac:dyDescent="0.35">
      <c r="A5" s="19" t="s">
        <v>202</v>
      </c>
      <c r="B5" s="20"/>
      <c r="C5" s="19">
        <v>30</v>
      </c>
      <c r="D5" s="19">
        <f>D3+D4</f>
        <v>13</v>
      </c>
      <c r="E5" s="19">
        <f>E3+E4</f>
        <v>3</v>
      </c>
      <c r="F5" s="19">
        <f>F3+F4</f>
        <v>1</v>
      </c>
      <c r="G5" s="19">
        <f>G3+G4</f>
        <v>0</v>
      </c>
    </row>
    <row r="6" spans="1:7" ht="18" customHeight="1" x14ac:dyDescent="0.35">
      <c r="A6" s="25" t="s">
        <v>203</v>
      </c>
      <c r="B6" s="23"/>
      <c r="C6" s="23"/>
      <c r="D6" s="23"/>
      <c r="E6" s="23"/>
      <c r="F6" s="23"/>
      <c r="G6" s="23"/>
    </row>
    <row r="7" spans="1:7" ht="18" customHeight="1" x14ac:dyDescent="0.35">
      <c r="A7" s="30" t="s">
        <v>204</v>
      </c>
      <c r="B7" s="31"/>
      <c r="C7" s="31"/>
      <c r="D7" s="31"/>
      <c r="E7" s="31"/>
      <c r="F7" s="31"/>
      <c r="G7" s="31"/>
    </row>
    <row r="8" spans="1:7" ht="18" customHeight="1" x14ac:dyDescent="0.35">
      <c r="A8" s="30" t="s">
        <v>205</v>
      </c>
      <c r="B8" s="31"/>
      <c r="C8" s="31"/>
      <c r="D8" s="31"/>
      <c r="E8" s="31"/>
      <c r="F8" s="31"/>
      <c r="G8" s="31"/>
    </row>
    <row r="9" spans="1:7" ht="18" customHeight="1" x14ac:dyDescent="0.35">
      <c r="A9" s="30" t="s">
        <v>206</v>
      </c>
      <c r="B9" s="31"/>
      <c r="C9" s="31"/>
      <c r="D9" s="31"/>
      <c r="E9" s="31"/>
      <c r="F9" s="31"/>
      <c r="G9" s="31"/>
    </row>
    <row r="10" spans="1:7" ht="18" customHeight="1" x14ac:dyDescent="0.35">
      <c r="A10" s="30" t="s">
        <v>207</v>
      </c>
      <c r="B10" s="31"/>
      <c r="C10" s="31"/>
      <c r="D10" s="31"/>
      <c r="E10" s="31"/>
      <c r="F10" s="31"/>
      <c r="G10" s="31"/>
    </row>
    <row r="11" spans="1:7" ht="18" customHeight="1" x14ac:dyDescent="0.35">
      <c r="A11" s="30" t="s">
        <v>208</v>
      </c>
      <c r="B11" s="31"/>
      <c r="C11" s="31"/>
      <c r="D11" s="31"/>
      <c r="E11" s="31"/>
      <c r="F11" s="31"/>
      <c r="G11" s="31"/>
    </row>
    <row r="12" spans="1:7" ht="18" customHeight="1" x14ac:dyDescent="0.35">
      <c r="A12" s="30" t="s">
        <v>209</v>
      </c>
      <c r="B12" s="31"/>
      <c r="C12" s="31"/>
      <c r="D12" s="31"/>
      <c r="E12" s="31"/>
      <c r="F12" s="31"/>
      <c r="G12" s="31"/>
    </row>
    <row r="13" spans="1:7" ht="18" customHeight="1" x14ac:dyDescent="0.35">
      <c r="A13" s="32" t="s">
        <v>210</v>
      </c>
      <c r="B13" s="33"/>
      <c r="C13" s="33"/>
      <c r="D13" s="33"/>
      <c r="E13" s="33"/>
      <c r="F13" s="33"/>
      <c r="G13" s="33"/>
    </row>
  </sheetData>
  <mergeCells count="9">
    <mergeCell ref="A13:G13"/>
    <mergeCell ref="A1:G1"/>
    <mergeCell ref="A9:G9"/>
    <mergeCell ref="A8:G8"/>
    <mergeCell ref="A6:G6"/>
    <mergeCell ref="A12:G12"/>
    <mergeCell ref="A7:G7"/>
    <mergeCell ref="A11:G11"/>
    <mergeCell ref="A10:G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TC-73 Login &amp; Register</vt:lpstr>
      <vt:lpstr>TC-76 Monitoring Stok</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Devina</cp:lastModifiedBy>
  <dcterms:created xsi:type="dcterms:W3CDTF">2026-06-14T07:02:57Z</dcterms:created>
  <dcterms:modified xsi:type="dcterms:W3CDTF">2026-06-21T23:02:46Z</dcterms:modified>
</cp:coreProperties>
</file>